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projects\python\pasport_print\"/>
    </mc:Choice>
  </mc:AlternateContent>
  <xr:revisionPtr revIDLastSave="0" documentId="8_{DB9FC9DB-47A4-4CDB-839E-49D8355FFB55}" xr6:coauthVersionLast="47" xr6:coauthVersionMax="47" xr10:uidLastSave="{00000000-0000-0000-0000-000000000000}"/>
  <bookViews>
    <workbookView xWindow="-108" yWindow="-108" windowWidth="23256" windowHeight="12576" xr2:uid="{6A5911AE-7860-4AF6-B58C-6219D54ADE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4" i="1" l="1"/>
  <c r="F52" i="1"/>
  <c r="F36" i="1"/>
  <c r="F35" i="1"/>
  <c r="F34" i="1"/>
  <c r="F33" i="1"/>
  <c r="F32" i="1"/>
  <c r="F31" i="1"/>
  <c r="F30" i="1"/>
  <c r="F29" i="1"/>
  <c r="F28" i="1"/>
  <c r="F27" i="1"/>
  <c r="F18" i="1"/>
  <c r="F19" i="1"/>
  <c r="F20" i="1"/>
  <c r="F21" i="1"/>
  <c r="F17" i="1"/>
  <c r="J66" i="1"/>
  <c r="F66" i="1"/>
  <c r="J65" i="1"/>
  <c r="F65" i="1"/>
  <c r="J42" i="1"/>
  <c r="J16" i="1"/>
  <c r="F16" i="1"/>
  <c r="J15" i="1"/>
  <c r="F15" i="1"/>
  <c r="J61" i="1"/>
  <c r="J38" i="1"/>
  <c r="J39" i="1"/>
  <c r="J40" i="1"/>
  <c r="J41" i="1"/>
  <c r="J43" i="1"/>
  <c r="J45" i="1"/>
  <c r="J46" i="1"/>
  <c r="J47" i="1"/>
  <c r="J48" i="1"/>
  <c r="J49" i="1"/>
  <c r="J50" i="1"/>
  <c r="J58" i="1"/>
  <c r="J59" i="1"/>
  <c r="J60" i="1"/>
  <c r="J62" i="1"/>
  <c r="J64" i="1"/>
  <c r="J9" i="1"/>
  <c r="J10" i="1"/>
  <c r="J8" i="1"/>
  <c r="F64" i="1"/>
  <c r="F62" i="1"/>
  <c r="F61" i="1"/>
  <c r="F60" i="1"/>
  <c r="F59" i="1"/>
  <c r="F58" i="1"/>
  <c r="F46" i="1"/>
  <c r="F47" i="1"/>
  <c r="F48" i="1"/>
  <c r="F49" i="1"/>
  <c r="F50" i="1"/>
  <c r="F51" i="1"/>
  <c r="F54" i="1"/>
  <c r="F55" i="1"/>
  <c r="F56" i="1"/>
  <c r="F45" i="1"/>
  <c r="F39" i="1"/>
  <c r="F40" i="1"/>
  <c r="F41" i="1"/>
  <c r="F42" i="1"/>
  <c r="F43" i="1"/>
  <c r="F38" i="1"/>
  <c r="F13" i="1"/>
  <c r="F10" i="1"/>
  <c r="F9" i="1"/>
  <c r="F8" i="1"/>
</calcChain>
</file>

<file path=xl/sharedStrings.xml><?xml version="1.0" encoding="utf-8"?>
<sst xmlns="http://schemas.openxmlformats.org/spreadsheetml/2006/main" count="369" uniqueCount="208">
  <si>
    <t>название в меню НЕО-Газ</t>
  </si>
  <si>
    <t>Номер регистра</t>
  </si>
  <si>
    <t>Формат значения</t>
  </si>
  <si>
    <t>настройки связи</t>
  </si>
  <si>
    <t>мобильный оператор</t>
  </si>
  <si>
    <t>apn</t>
  </si>
  <si>
    <t>логин</t>
  </si>
  <si>
    <t>пароль</t>
  </si>
  <si>
    <t>минимальный уровень сигнала</t>
  </si>
  <si>
    <t>минимальная температура отправки</t>
  </si>
  <si>
    <t>записывать в журнал неудачные попытки</t>
  </si>
  <si>
    <t>адрес и порт сервера нео</t>
  </si>
  <si>
    <t>сервер</t>
  </si>
  <si>
    <t>синхронизация с сервером</t>
  </si>
  <si>
    <t>основные настрйоки</t>
  </si>
  <si>
    <t>время и дата</t>
  </si>
  <si>
    <t>сброс ошибок</t>
  </si>
  <si>
    <t>дисплей всегда включен</t>
  </si>
  <si>
    <t>автоматическая прокрутка меню</t>
  </si>
  <si>
    <t>показывать рабочий объем</t>
  </si>
  <si>
    <t>функция мониторинга газоанализатора</t>
  </si>
  <si>
    <t>период измерения температуры</t>
  </si>
  <si>
    <t>системные настрйоки</t>
  </si>
  <si>
    <t xml:space="preserve">коэффициент 1 </t>
  </si>
  <si>
    <t>примпенять калибровку расхода</t>
  </si>
  <si>
    <t>заводской номер</t>
  </si>
  <si>
    <t>типоразмер</t>
  </si>
  <si>
    <t>тип клапана</t>
  </si>
  <si>
    <t>полярность клапана</t>
  </si>
  <si>
    <t>сброс системных ошибок</t>
  </si>
  <si>
    <t>активировать лицензию</t>
  </si>
  <si>
    <t>обновить данные на сервере</t>
  </si>
  <si>
    <t>поверка</t>
  </si>
  <si>
    <t>режим поверки</t>
  </si>
  <si>
    <t>накомпленный объем приведенный к 20 градусам</t>
  </si>
  <si>
    <t>температура газа</t>
  </si>
  <si>
    <t>UINT16, Поставщик и выше</t>
  </si>
  <si>
    <t>INT16, Поставщик и выше</t>
  </si>
  <si>
    <t>HOLDING 40045</t>
  </si>
  <si>
    <t>HOLDING 40046</t>
  </si>
  <si>
    <t>HOLDING 40075</t>
  </si>
  <si>
    <t>COIL 4007</t>
  </si>
  <si>
    <t>TRUE - отправить, Пользователь и выше</t>
  </si>
  <si>
    <t>HOLDING 9700 - тип (0-дата и время, 1-дата, 2-время), 9701-9706, Год (ГГ), Месяц, День, Час, Минута, Секунда. 
9707 - применить
9708 - ошибка смены</t>
  </si>
  <si>
    <t>TRUE - сбросить, СЦ и выше</t>
  </si>
  <si>
    <t>HOLDING 40023</t>
  </si>
  <si>
    <t>HOLDING 40024</t>
  </si>
  <si>
    <t>HOLDING 40044</t>
  </si>
  <si>
    <t>HOLDING 40078</t>
  </si>
  <si>
    <t>HOLDING 40029</t>
  </si>
  <si>
    <t>FLOAT32, СЦ и выше</t>
  </si>
  <si>
    <t>HOLDING 40035</t>
  </si>
  <si>
    <t>UINT32, Производитель</t>
  </si>
  <si>
    <t>HOLDING 40079</t>
  </si>
  <si>
    <t>UINT16, Производитель</t>
  </si>
  <si>
    <t>HOLDING 40049</t>
  </si>
  <si>
    <t>HOLDING 40060</t>
  </si>
  <si>
    <t>UINT16, СЦ и выше</t>
  </si>
  <si>
    <t>HOLDING 40061</t>
  </si>
  <si>
    <t>Сохранить настройки</t>
  </si>
  <si>
    <t>Сохранить системные настройки</t>
  </si>
  <si>
    <t>COIL 4005</t>
  </si>
  <si>
    <t>COIL 4001</t>
  </si>
  <si>
    <t>TRUE - сохранить, СЦ и выше</t>
  </si>
  <si>
    <t>HOLDING 40039</t>
  </si>
  <si>
    <t>строка</t>
  </si>
  <si>
    <t>HOLDING 40053</t>
  </si>
  <si>
    <t>UINT16, любой</t>
  </si>
  <si>
    <t>ограничение времени поверки</t>
  </si>
  <si>
    <t>органичение объема поверки</t>
  </si>
  <si>
    <t>HOLDING 40054</t>
  </si>
  <si>
    <t xml:space="preserve">HOLDING 40055 </t>
  </si>
  <si>
    <t>FLOAT32, любой</t>
  </si>
  <si>
    <t>Объем на начало поверки</t>
  </si>
  <si>
    <t>INPUT 30087</t>
  </si>
  <si>
    <t>Объем на конец поверки</t>
  </si>
  <si>
    <t>INPUT 30138</t>
  </si>
  <si>
    <t>Объем на конец поверки - Объем на начало поверки</t>
  </si>
  <si>
    <t>INPUT 30074</t>
  </si>
  <si>
    <t>TRUE - сбросить, Поставщик и выше</t>
  </si>
  <si>
    <t>DOUBLE64, любой</t>
  </si>
  <si>
    <t>UINT16 (значения 20,40,60)</t>
  </si>
  <si>
    <t>UINT16, 1-вкл, 0-выкл, Пользователь и выше</t>
  </si>
  <si>
    <t>UINT16, 1-вкл, 0-выкл, Поставщик и выше</t>
  </si>
  <si>
    <t>UINT16, 1-вкл, 0-выкл, Производитель</t>
  </si>
  <si>
    <t>индекс типоразмера: 0- не определено, 1- 1.6, 2 - 2.5 и т.д.</t>
  </si>
  <si>
    <t>0 - не установлен, 1 - одинарный, 2 - двойной, 3 - шаровой</t>
  </si>
  <si>
    <t>0 - прямая, 1 - обратная</t>
  </si>
  <si>
    <t>Регистры лицензии</t>
  </si>
  <si>
    <t>HOLDING 40400-40409</t>
  </si>
  <si>
    <t>COIL 1000</t>
  </si>
  <si>
    <t>СOIL - TRUE - записать и сохранить</t>
  </si>
  <si>
    <t>HOLDING UINT16 Производитель</t>
  </si>
  <si>
    <t>Адрес HEX</t>
  </si>
  <si>
    <t>Код чтение</t>
  </si>
  <si>
    <t>03</t>
  </si>
  <si>
    <t>01</t>
  </si>
  <si>
    <t>04</t>
  </si>
  <si>
    <t>Запрос</t>
  </si>
  <si>
    <t>lrc</t>
  </si>
  <si>
    <t>F3</t>
  </si>
  <si>
    <t>F2</t>
  </si>
  <si>
    <t>08</t>
  </si>
  <si>
    <t>D1</t>
  </si>
  <si>
    <t>E3</t>
  </si>
  <si>
    <t>EA</t>
  </si>
  <si>
    <t>:</t>
  </si>
  <si>
    <t>01039C6D0001</t>
  </si>
  <si>
    <t>01039C6E0001</t>
  </si>
  <si>
    <t>01039C8B0001</t>
  </si>
  <si>
    <t>F1</t>
  </si>
  <si>
    <t>D4</t>
  </si>
  <si>
    <t>01039C570001</t>
  </si>
  <si>
    <t>01039C580001</t>
  </si>
  <si>
    <t>01039C6C0001</t>
  </si>
  <si>
    <t>01039C8E0001</t>
  </si>
  <si>
    <t>01039C670001</t>
  </si>
  <si>
    <t>01039C8F0001</t>
  </si>
  <si>
    <t>01039C630002</t>
  </si>
  <si>
    <t>01039C710001</t>
  </si>
  <si>
    <t>01039C7C0001</t>
  </si>
  <si>
    <t>01039C7D0001</t>
  </si>
  <si>
    <t>07</t>
  </si>
  <si>
    <t>F8</t>
  </si>
  <si>
    <t>FB</t>
  </si>
  <si>
    <t>01039C5D0002</t>
  </si>
  <si>
    <t>D0</t>
  </si>
  <si>
    <t>EE</t>
  </si>
  <si>
    <t>E2</t>
  </si>
  <si>
    <t>01039C750001</t>
  </si>
  <si>
    <t>01039C760001</t>
  </si>
  <si>
    <t>010300370001</t>
  </si>
  <si>
    <t>010475870004</t>
  </si>
  <si>
    <t>010475BA0004</t>
  </si>
  <si>
    <t>0104757A0002</t>
  </si>
  <si>
    <t>E9</t>
  </si>
  <si>
    <t>C4</t>
  </si>
  <si>
    <t>C8</t>
  </si>
  <si>
    <t>0A</t>
  </si>
  <si>
    <t>010325E40001</t>
  </si>
  <si>
    <t>010325E50006</t>
  </si>
  <si>
    <t>EC</t>
  </si>
  <si>
    <t>уточнить</t>
  </si>
  <si>
    <t>06</t>
  </si>
  <si>
    <t>05</t>
  </si>
  <si>
    <t>01050FA10001</t>
  </si>
  <si>
    <t>49</t>
  </si>
  <si>
    <t>начало поверки</t>
  </si>
  <si>
    <t>COIL 4028</t>
  </si>
  <si>
    <t>TRUE</t>
  </si>
  <si>
    <t>2E</t>
  </si>
  <si>
    <t>статус поверки</t>
  </si>
  <si>
    <t>HOLDING 40057</t>
  </si>
  <si>
    <t>01039C790001</t>
  </si>
  <si>
    <t>E6</t>
  </si>
  <si>
    <t>01050FBC0</t>
  </si>
  <si>
    <t>HOLDING 9701</t>
  </si>
  <si>
    <t>HOLDING 9702</t>
  </si>
  <si>
    <t>HOLDING 9703</t>
  </si>
  <si>
    <t>год (для записи)</t>
  </si>
  <si>
    <t>месяц (для записи)</t>
  </si>
  <si>
    <t>день (для записи)</t>
  </si>
  <si>
    <t>HOLDING 9704</t>
  </si>
  <si>
    <t>HOLDING 9705</t>
  </si>
  <si>
    <t>HOLDING 9706</t>
  </si>
  <si>
    <t>час (для записи)</t>
  </si>
  <si>
    <t>минуты (для записи)</t>
  </si>
  <si>
    <t>секунды (для записи)</t>
  </si>
  <si>
    <t>UINT16</t>
  </si>
  <si>
    <t>09</t>
  </si>
  <si>
    <t>10</t>
  </si>
  <si>
    <t>COIL 4013</t>
  </si>
  <si>
    <t>COIL 4014</t>
  </si>
  <si>
    <t>COIL 4015</t>
  </si>
  <si>
    <t>COIL 4021</t>
  </si>
  <si>
    <t>COIL 4022</t>
  </si>
  <si>
    <t>COIL 4030</t>
  </si>
  <si>
    <t>COIL 4033</t>
  </si>
  <si>
    <t>COIL 4035</t>
  </si>
  <si>
    <t>COIL 4038</t>
  </si>
  <si>
    <t>COIL 4011</t>
  </si>
  <si>
    <t>INPUT 30040</t>
  </si>
  <si>
    <t>год (чтение)</t>
  </si>
  <si>
    <t>INPUT 30041</t>
  </si>
  <si>
    <t>месяц (чтение)</t>
  </si>
  <si>
    <t>INPUT 30042</t>
  </si>
  <si>
    <t>день (чтение)</t>
  </si>
  <si>
    <t>INPUT 30043</t>
  </si>
  <si>
    <t>INPUT 30044</t>
  </si>
  <si>
    <t>минуты(чтение)</t>
  </si>
  <si>
    <t>id процессора</t>
  </si>
  <si>
    <t>INPUT 30095</t>
  </si>
  <si>
    <t>INPUT 30097</t>
  </si>
  <si>
    <t>INPUT 30099</t>
  </si>
  <si>
    <t>UINT32</t>
  </si>
  <si>
    <t>input16</t>
  </si>
  <si>
    <t>uint16</t>
  </si>
  <si>
    <t>int16</t>
  </si>
  <si>
    <t>uint32</t>
  </si>
  <si>
    <t>input32</t>
  </si>
  <si>
    <t>часы(чтение)</t>
  </si>
  <si>
    <t>coil</t>
  </si>
  <si>
    <t>COIL 4016</t>
  </si>
  <si>
    <t>COIL 4012</t>
  </si>
  <si>
    <t>input32_float</t>
  </si>
  <si>
    <t>проверка запроса на запись</t>
  </si>
  <si>
    <t>:0170001000696E7465726E65742E74656C656B6F6DF7/r/n</t>
  </si>
  <si>
    <t>сброс системных ошибок (лицензии?)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</si>
</sst>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NumberForma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11" fontId="0" fillId="0" borderId="0" xfId="0" applyNumberFormat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  <xf numFmtId="0" fontId="0" fillId="2" borderId="0" xfId="0" applyFill="1" applyBorder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AB5-5BCF-4E41-87C7-2DFCFFDFDA63}">
  <dimension ref="A1:L78"/>
  <sheetViews>
    <sheetView tabSelected="1" topLeftCell="A60" workbookViewId="0">
      <selection activeCell="C76" sqref="C76"/>
    </sheetView>
  </sheetViews>
  <sheetFormatPr defaultRowHeight="14.4" x14ac:dyDescent="0.3"/>
  <cols>
    <col min="1" max="1" width="34.6640625" style="5" customWidth="1"/>
    <col min="2" max="2" width="43.109375" customWidth="1"/>
    <col min="3" max="3" width="35.44140625" customWidth="1"/>
    <col min="4" max="4" width="18.21875" customWidth="1"/>
    <col min="5" max="5" width="2.77734375" customWidth="1"/>
    <col min="6" max="6" width="11.33203125" customWidth="1"/>
    <col min="7" max="7" width="11.21875" customWidth="1"/>
    <col min="8" max="8" width="15.109375" customWidth="1"/>
    <col min="9" max="9" width="8.88671875" customWidth="1"/>
    <col min="10" max="10" width="16.88671875" customWidth="1"/>
    <col min="11" max="11" width="8.88671875" customWidth="1"/>
    <col min="12" max="12" width="35.77734375" customWidth="1"/>
  </cols>
  <sheetData>
    <row r="1" spans="1:12" x14ac:dyDescent="0.3">
      <c r="F1" t="s">
        <v>93</v>
      </c>
      <c r="G1" t="s">
        <v>94</v>
      </c>
      <c r="H1" t="s">
        <v>98</v>
      </c>
      <c r="I1" t="s">
        <v>99</v>
      </c>
      <c r="L1" t="s">
        <v>205</v>
      </c>
    </row>
    <row r="2" spans="1:12" x14ac:dyDescent="0.3">
      <c r="A2" s="3" t="s">
        <v>0</v>
      </c>
      <c r="B2" s="2" t="s">
        <v>1</v>
      </c>
      <c r="C2" s="2" t="s">
        <v>2</v>
      </c>
      <c r="D2" s="8"/>
      <c r="E2" s="8"/>
    </row>
    <row r="3" spans="1:12" x14ac:dyDescent="0.3">
      <c r="A3" s="16" t="s">
        <v>3</v>
      </c>
      <c r="B3" s="16"/>
      <c r="C3" s="16"/>
      <c r="D3" s="9"/>
      <c r="E3" s="9"/>
    </row>
    <row r="4" spans="1:12" x14ac:dyDescent="0.3">
      <c r="A4" s="4" t="s">
        <v>4</v>
      </c>
      <c r="B4" s="1">
        <v>24</v>
      </c>
      <c r="C4" s="1" t="s">
        <v>65</v>
      </c>
      <c r="D4" s="10"/>
      <c r="E4" s="10"/>
    </row>
    <row r="5" spans="1:12" x14ac:dyDescent="0.3">
      <c r="A5" s="4" t="s">
        <v>5</v>
      </c>
      <c r="B5" s="1">
        <v>1</v>
      </c>
      <c r="C5" s="1" t="s">
        <v>65</v>
      </c>
      <c r="D5" s="10"/>
      <c r="E5" s="10"/>
    </row>
    <row r="6" spans="1:12" x14ac:dyDescent="0.3">
      <c r="A6" s="4" t="s">
        <v>6</v>
      </c>
      <c r="B6" s="1">
        <v>2</v>
      </c>
      <c r="C6" s="1" t="s">
        <v>65</v>
      </c>
      <c r="D6" s="10"/>
      <c r="E6" s="10"/>
    </row>
    <row r="7" spans="1:12" x14ac:dyDescent="0.3">
      <c r="A7" s="4" t="s">
        <v>7</v>
      </c>
      <c r="B7" s="1">
        <v>3</v>
      </c>
      <c r="C7" s="1" t="s">
        <v>65</v>
      </c>
      <c r="D7" s="10"/>
      <c r="E7" s="10"/>
    </row>
    <row r="8" spans="1:12" x14ac:dyDescent="0.3">
      <c r="A8" s="4" t="s">
        <v>8</v>
      </c>
      <c r="B8" s="1" t="s">
        <v>38</v>
      </c>
      <c r="C8" s="1" t="s">
        <v>36</v>
      </c>
      <c r="D8" s="15" t="s">
        <v>196</v>
      </c>
      <c r="E8" s="10" t="s">
        <v>106</v>
      </c>
      <c r="F8" t="str">
        <f>DEC2HEX(RIGHT(B8,5))</f>
        <v>9C6D</v>
      </c>
      <c r="G8" s="6" t="s">
        <v>95</v>
      </c>
      <c r="H8" s="6" t="s">
        <v>107</v>
      </c>
      <c r="I8" t="s">
        <v>101</v>
      </c>
      <c r="J8" s="7" t="str">
        <f>_xlfn.CONCAT(E8,H8,I8)</f>
        <v>:01039C6D0001F2</v>
      </c>
      <c r="K8" s="6" t="s">
        <v>143</v>
      </c>
    </row>
    <row r="9" spans="1:12" x14ac:dyDescent="0.3">
      <c r="A9" s="4" t="s">
        <v>9</v>
      </c>
      <c r="B9" s="1" t="s">
        <v>39</v>
      </c>
      <c r="C9" s="1" t="s">
        <v>37</v>
      </c>
      <c r="D9" s="15" t="s">
        <v>197</v>
      </c>
      <c r="E9" s="10" t="s">
        <v>106</v>
      </c>
      <c r="F9" t="str">
        <f>DEC2HEX(RIGHT(B9,5))</f>
        <v>9C6E</v>
      </c>
      <c r="G9" s="6" t="s">
        <v>95</v>
      </c>
      <c r="H9" t="s">
        <v>108</v>
      </c>
      <c r="I9" t="s">
        <v>110</v>
      </c>
      <c r="J9" s="7" t="str">
        <f t="shared" ref="J9:J10" si="0">_xlfn.CONCAT(E9,H9,I9)</f>
        <v>:01039C6E0001F1</v>
      </c>
    </row>
    <row r="10" spans="1:12" ht="28.8" x14ac:dyDescent="0.3">
      <c r="A10" s="4" t="s">
        <v>10</v>
      </c>
      <c r="B10" s="1" t="s">
        <v>40</v>
      </c>
      <c r="C10" s="1" t="s">
        <v>83</v>
      </c>
      <c r="D10" s="15" t="s">
        <v>196</v>
      </c>
      <c r="E10" s="10" t="s">
        <v>106</v>
      </c>
      <c r="F10" t="str">
        <f>DEC2HEX(RIGHT(B10,5))</f>
        <v>9C8B</v>
      </c>
      <c r="G10" s="6" t="s">
        <v>95</v>
      </c>
      <c r="H10" t="s">
        <v>109</v>
      </c>
      <c r="I10" t="s">
        <v>111</v>
      </c>
      <c r="J10" s="7" t="str">
        <f t="shared" si="0"/>
        <v>:01039C8B0001D4</v>
      </c>
    </row>
    <row r="11" spans="1:12" x14ac:dyDescent="0.3">
      <c r="A11" s="4" t="s">
        <v>11</v>
      </c>
      <c r="B11" s="1">
        <v>64</v>
      </c>
      <c r="C11" s="1" t="s">
        <v>65</v>
      </c>
      <c r="D11" s="10"/>
      <c r="E11" s="10" t="s">
        <v>106</v>
      </c>
    </row>
    <row r="12" spans="1:12" x14ac:dyDescent="0.3">
      <c r="A12" s="16" t="s">
        <v>12</v>
      </c>
      <c r="B12" s="16"/>
      <c r="C12" s="16"/>
      <c r="D12" s="9"/>
      <c r="E12" s="10" t="s">
        <v>106</v>
      </c>
    </row>
    <row r="13" spans="1:12" x14ac:dyDescent="0.3">
      <c r="A13" s="4" t="s">
        <v>13</v>
      </c>
      <c r="B13" s="1" t="s">
        <v>41</v>
      </c>
      <c r="C13" s="1" t="s">
        <v>42</v>
      </c>
      <c r="D13" s="15" t="s">
        <v>201</v>
      </c>
      <c r="E13" s="10" t="s">
        <v>106</v>
      </c>
      <c r="F13" t="str">
        <f>DEC2HEX(RIGHT(B13,5))</f>
        <v>FA7</v>
      </c>
      <c r="G13" s="6" t="s">
        <v>96</v>
      </c>
    </row>
    <row r="14" spans="1:12" x14ac:dyDescent="0.3">
      <c r="A14" s="16" t="s">
        <v>14</v>
      </c>
      <c r="B14" s="16"/>
      <c r="C14" s="16"/>
      <c r="D14" s="9"/>
      <c r="E14" s="10" t="s">
        <v>106</v>
      </c>
    </row>
    <row r="15" spans="1:12" ht="72" x14ac:dyDescent="0.3">
      <c r="A15" s="4" t="s">
        <v>15</v>
      </c>
      <c r="B15" s="4" t="s">
        <v>43</v>
      </c>
      <c r="C15" s="1" t="s">
        <v>36</v>
      </c>
      <c r="D15" s="10"/>
      <c r="E15" s="10" t="s">
        <v>106</v>
      </c>
      <c r="F15" t="str">
        <f>DEC2HEX(9700)</f>
        <v>25E4</v>
      </c>
      <c r="G15">
        <v>3</v>
      </c>
      <c r="H15" s="11" t="s">
        <v>139</v>
      </c>
      <c r="I15" t="s">
        <v>101</v>
      </c>
      <c r="J15" s="7" t="str">
        <f t="shared" ref="J15:J16" si="1">_xlfn.CONCAT(E15,H15,I15)</f>
        <v>:010325E40001F2</v>
      </c>
    </row>
    <row r="16" spans="1:12" x14ac:dyDescent="0.3">
      <c r="A16" s="4" t="s">
        <v>159</v>
      </c>
      <c r="B16" s="4" t="s">
        <v>156</v>
      </c>
      <c r="C16" s="1" t="s">
        <v>168</v>
      </c>
      <c r="D16" s="15" t="s">
        <v>196</v>
      </c>
      <c r="E16" s="12" t="s">
        <v>106</v>
      </c>
      <c r="F16" t="str">
        <f>DEC2HEX(9701)</f>
        <v>25E5</v>
      </c>
      <c r="G16" s="6" t="s">
        <v>95</v>
      </c>
      <c r="H16" s="11" t="s">
        <v>140</v>
      </c>
      <c r="I16" t="s">
        <v>141</v>
      </c>
      <c r="J16" s="7" t="str">
        <f t="shared" si="1"/>
        <v>:010325E50006EC</v>
      </c>
      <c r="K16" s="7" t="s">
        <v>142</v>
      </c>
    </row>
    <row r="17" spans="1:11" x14ac:dyDescent="0.3">
      <c r="A17" s="4" t="s">
        <v>160</v>
      </c>
      <c r="B17" s="4" t="s">
        <v>157</v>
      </c>
      <c r="C17" s="1" t="s">
        <v>168</v>
      </c>
      <c r="D17" s="15" t="s">
        <v>196</v>
      </c>
      <c r="E17" s="12" t="s">
        <v>106</v>
      </c>
      <c r="F17" t="str">
        <f>DEC2HEX(RIGHT(B17,5))</f>
        <v>25E6</v>
      </c>
      <c r="G17" s="6" t="s">
        <v>143</v>
      </c>
      <c r="H17" s="11"/>
      <c r="J17" s="7"/>
      <c r="K17" s="7"/>
    </row>
    <row r="18" spans="1:11" x14ac:dyDescent="0.3">
      <c r="A18" s="4" t="s">
        <v>161</v>
      </c>
      <c r="B18" s="4" t="s">
        <v>158</v>
      </c>
      <c r="C18" s="1" t="s">
        <v>168</v>
      </c>
      <c r="D18" s="15" t="s">
        <v>196</v>
      </c>
      <c r="E18" s="12" t="s">
        <v>106</v>
      </c>
      <c r="F18" t="str">
        <f t="shared" ref="F18:F36" si="2">DEC2HEX(RIGHT(B18,5))</f>
        <v>25E7</v>
      </c>
      <c r="G18" s="6" t="s">
        <v>122</v>
      </c>
      <c r="H18" s="11"/>
      <c r="J18" s="7"/>
      <c r="K18" s="7"/>
    </row>
    <row r="19" spans="1:11" x14ac:dyDescent="0.3">
      <c r="A19" s="4" t="s">
        <v>165</v>
      </c>
      <c r="B19" s="4" t="s">
        <v>162</v>
      </c>
      <c r="C19" s="1" t="s">
        <v>168</v>
      </c>
      <c r="D19" s="15" t="s">
        <v>196</v>
      </c>
      <c r="E19" s="12" t="s">
        <v>106</v>
      </c>
      <c r="F19" t="str">
        <f t="shared" si="2"/>
        <v>25E8</v>
      </c>
      <c r="G19" s="6" t="s">
        <v>102</v>
      </c>
      <c r="H19" s="11"/>
      <c r="J19" s="7"/>
      <c r="K19" s="7"/>
    </row>
    <row r="20" spans="1:11" x14ac:dyDescent="0.3">
      <c r="A20" s="4" t="s">
        <v>166</v>
      </c>
      <c r="B20" s="4" t="s">
        <v>163</v>
      </c>
      <c r="C20" s="1" t="s">
        <v>168</v>
      </c>
      <c r="D20" s="15" t="s">
        <v>196</v>
      </c>
      <c r="E20" s="12" t="s">
        <v>106</v>
      </c>
      <c r="F20" t="str">
        <f t="shared" si="2"/>
        <v>25E9</v>
      </c>
      <c r="G20" s="6" t="s">
        <v>169</v>
      </c>
      <c r="H20" s="11"/>
      <c r="J20" s="7"/>
      <c r="K20" s="7"/>
    </row>
    <row r="21" spans="1:11" x14ac:dyDescent="0.3">
      <c r="A21" s="4" t="s">
        <v>167</v>
      </c>
      <c r="B21" s="4" t="s">
        <v>164</v>
      </c>
      <c r="C21" s="1" t="s">
        <v>168</v>
      </c>
      <c r="D21" s="15" t="s">
        <v>196</v>
      </c>
      <c r="E21" s="12" t="s">
        <v>106</v>
      </c>
      <c r="F21" t="str">
        <f t="shared" si="2"/>
        <v>25EA</v>
      </c>
      <c r="G21" s="6" t="s">
        <v>170</v>
      </c>
      <c r="H21" s="11"/>
      <c r="J21" s="7"/>
      <c r="K21" s="7"/>
    </row>
    <row r="22" spans="1:11" x14ac:dyDescent="0.3">
      <c r="A22" s="4" t="s">
        <v>186</v>
      </c>
      <c r="B22" s="4" t="s">
        <v>181</v>
      </c>
      <c r="C22" s="1" t="s">
        <v>168</v>
      </c>
      <c r="D22" s="15" t="s">
        <v>195</v>
      </c>
      <c r="E22" s="12"/>
      <c r="G22" s="6"/>
      <c r="H22" s="11"/>
      <c r="J22" s="7"/>
      <c r="K22" s="7"/>
    </row>
    <row r="23" spans="1:11" x14ac:dyDescent="0.3">
      <c r="A23" s="4" t="s">
        <v>184</v>
      </c>
      <c r="B23" s="4" t="s">
        <v>183</v>
      </c>
      <c r="C23" s="1" t="s">
        <v>168</v>
      </c>
      <c r="D23" s="15" t="s">
        <v>195</v>
      </c>
      <c r="E23" s="12"/>
      <c r="G23" s="6"/>
      <c r="H23" s="11"/>
      <c r="J23" s="7"/>
      <c r="K23" s="7"/>
    </row>
    <row r="24" spans="1:11" x14ac:dyDescent="0.3">
      <c r="A24" s="4" t="s">
        <v>182</v>
      </c>
      <c r="B24" s="4" t="s">
        <v>185</v>
      </c>
      <c r="C24" s="1" t="s">
        <v>168</v>
      </c>
      <c r="D24" s="15" t="s">
        <v>195</v>
      </c>
      <c r="E24" s="12"/>
      <c r="G24" s="6"/>
      <c r="H24" s="11"/>
      <c r="J24" s="7"/>
      <c r="K24" s="7"/>
    </row>
    <row r="25" spans="1:11" x14ac:dyDescent="0.3">
      <c r="A25" s="4" t="s">
        <v>200</v>
      </c>
      <c r="B25" s="4" t="s">
        <v>187</v>
      </c>
      <c r="C25" s="1" t="s">
        <v>168</v>
      </c>
      <c r="D25" s="15" t="s">
        <v>195</v>
      </c>
      <c r="E25" s="12"/>
      <c r="G25" s="6"/>
      <c r="H25" s="11"/>
      <c r="J25" s="7"/>
      <c r="K25" s="7"/>
    </row>
    <row r="26" spans="1:11" x14ac:dyDescent="0.3">
      <c r="A26" s="4" t="s">
        <v>189</v>
      </c>
      <c r="B26" s="4" t="s">
        <v>188</v>
      </c>
      <c r="C26" s="1" t="s">
        <v>168</v>
      </c>
      <c r="D26" s="15" t="s">
        <v>195</v>
      </c>
      <c r="E26" s="10"/>
      <c r="H26" s="11"/>
      <c r="J26" s="7"/>
    </row>
    <row r="27" spans="1:11" x14ac:dyDescent="0.3">
      <c r="A27" s="4" t="s">
        <v>16</v>
      </c>
      <c r="B27" s="1" t="s">
        <v>180</v>
      </c>
      <c r="C27" s="1" t="s">
        <v>79</v>
      </c>
      <c r="D27" s="15" t="s">
        <v>201</v>
      </c>
      <c r="E27" s="10" t="s">
        <v>106</v>
      </c>
      <c r="F27" t="str">
        <f t="shared" si="2"/>
        <v>FAB</v>
      </c>
    </row>
    <row r="28" spans="1:11" x14ac:dyDescent="0.3">
      <c r="A28" s="4"/>
      <c r="B28" s="1" t="s">
        <v>171</v>
      </c>
      <c r="C28" s="1" t="s">
        <v>79</v>
      </c>
      <c r="D28" s="15" t="s">
        <v>201</v>
      </c>
      <c r="E28" s="10" t="s">
        <v>106</v>
      </c>
      <c r="F28" t="str">
        <f t="shared" si="2"/>
        <v>FAD</v>
      </c>
    </row>
    <row r="29" spans="1:11" x14ac:dyDescent="0.3">
      <c r="A29" s="4"/>
      <c r="B29" s="1" t="s">
        <v>172</v>
      </c>
      <c r="C29" s="1" t="s">
        <v>79</v>
      </c>
      <c r="D29" s="15" t="s">
        <v>201</v>
      </c>
      <c r="E29" s="10" t="s">
        <v>106</v>
      </c>
      <c r="F29" t="str">
        <f t="shared" si="2"/>
        <v>FAE</v>
      </c>
    </row>
    <row r="30" spans="1:11" x14ac:dyDescent="0.3">
      <c r="A30" s="4"/>
      <c r="B30" s="1" t="s">
        <v>173</v>
      </c>
      <c r="C30" s="1" t="s">
        <v>79</v>
      </c>
      <c r="D30" s="15" t="s">
        <v>201</v>
      </c>
      <c r="E30" s="10" t="s">
        <v>106</v>
      </c>
      <c r="F30" t="str">
        <f t="shared" si="2"/>
        <v>FAF</v>
      </c>
    </row>
    <row r="31" spans="1:11" x14ac:dyDescent="0.3">
      <c r="A31" s="4"/>
      <c r="B31" s="1" t="s">
        <v>174</v>
      </c>
      <c r="C31" s="1" t="s">
        <v>79</v>
      </c>
      <c r="D31" s="15" t="s">
        <v>201</v>
      </c>
      <c r="E31" s="10" t="s">
        <v>106</v>
      </c>
      <c r="F31" t="str">
        <f t="shared" si="2"/>
        <v>FB5</v>
      </c>
    </row>
    <row r="32" spans="1:11" x14ac:dyDescent="0.3">
      <c r="A32" s="4"/>
      <c r="B32" s="1" t="s">
        <v>175</v>
      </c>
      <c r="C32" s="1" t="s">
        <v>79</v>
      </c>
      <c r="D32" s="15" t="s">
        <v>201</v>
      </c>
      <c r="E32" s="10" t="s">
        <v>106</v>
      </c>
      <c r="F32" t="str">
        <f t="shared" si="2"/>
        <v>FB6</v>
      </c>
    </row>
    <row r="33" spans="1:11" x14ac:dyDescent="0.3">
      <c r="A33" s="4"/>
      <c r="B33" s="1" t="s">
        <v>176</v>
      </c>
      <c r="C33" s="1" t="s">
        <v>79</v>
      </c>
      <c r="D33" s="15" t="s">
        <v>201</v>
      </c>
      <c r="E33" s="10" t="s">
        <v>106</v>
      </c>
      <c r="F33" t="str">
        <f t="shared" si="2"/>
        <v>FBE</v>
      </c>
    </row>
    <row r="34" spans="1:11" x14ac:dyDescent="0.3">
      <c r="A34" s="4"/>
      <c r="B34" s="1" t="s">
        <v>177</v>
      </c>
      <c r="C34" s="1" t="s">
        <v>79</v>
      </c>
      <c r="D34" s="15" t="s">
        <v>201</v>
      </c>
      <c r="E34" s="10" t="s">
        <v>106</v>
      </c>
      <c r="F34" t="str">
        <f t="shared" si="2"/>
        <v>FC1</v>
      </c>
    </row>
    <row r="35" spans="1:11" x14ac:dyDescent="0.3">
      <c r="A35" s="4"/>
      <c r="B35" s="1" t="s">
        <v>178</v>
      </c>
      <c r="C35" s="1" t="s">
        <v>79</v>
      </c>
      <c r="D35" s="15" t="s">
        <v>201</v>
      </c>
      <c r="E35" s="10" t="s">
        <v>106</v>
      </c>
      <c r="F35" t="str">
        <f t="shared" si="2"/>
        <v>FC3</v>
      </c>
    </row>
    <row r="36" spans="1:11" x14ac:dyDescent="0.3">
      <c r="A36" s="4"/>
      <c r="B36" s="1" t="s">
        <v>179</v>
      </c>
      <c r="C36" s="1" t="s">
        <v>79</v>
      </c>
      <c r="D36" s="15" t="s">
        <v>201</v>
      </c>
      <c r="E36" s="10" t="s">
        <v>106</v>
      </c>
      <c r="F36" t="str">
        <f t="shared" si="2"/>
        <v>FC6</v>
      </c>
    </row>
    <row r="37" spans="1:11" x14ac:dyDescent="0.3">
      <c r="A37" s="4"/>
      <c r="B37" s="1"/>
      <c r="C37" s="1"/>
      <c r="D37" s="10"/>
      <c r="E37" s="10"/>
    </row>
    <row r="38" spans="1:11" x14ac:dyDescent="0.3">
      <c r="A38" s="4" t="s">
        <v>17</v>
      </c>
      <c r="B38" s="1" t="s">
        <v>45</v>
      </c>
      <c r="C38" s="1" t="s">
        <v>82</v>
      </c>
      <c r="D38" s="15" t="s">
        <v>196</v>
      </c>
      <c r="E38" s="10" t="s">
        <v>106</v>
      </c>
      <c r="F38" t="str">
        <f t="shared" ref="F38:F43" si="3">DEC2HEX(RIGHT(B38,5))</f>
        <v>9C57</v>
      </c>
      <c r="G38" s="6" t="s">
        <v>95</v>
      </c>
      <c r="H38" t="s">
        <v>112</v>
      </c>
      <c r="I38" s="6" t="s">
        <v>102</v>
      </c>
      <c r="J38" s="7" t="str">
        <f t="shared" ref="J38:J66" si="4">_xlfn.CONCAT(E38,H38,I38)</f>
        <v>:01039C57000108</v>
      </c>
    </row>
    <row r="39" spans="1:11" x14ac:dyDescent="0.3">
      <c r="A39" s="4" t="s">
        <v>18</v>
      </c>
      <c r="B39" s="1" t="s">
        <v>46</v>
      </c>
      <c r="C39" s="1" t="s">
        <v>82</v>
      </c>
      <c r="D39" s="15" t="s">
        <v>196</v>
      </c>
      <c r="E39" s="10" t="s">
        <v>106</v>
      </c>
      <c r="F39" t="str">
        <f t="shared" si="3"/>
        <v>9C58</v>
      </c>
      <c r="G39" s="6" t="s">
        <v>95</v>
      </c>
      <c r="H39" t="s">
        <v>113</v>
      </c>
      <c r="I39" s="6" t="s">
        <v>122</v>
      </c>
      <c r="J39" s="7" t="str">
        <f t="shared" si="4"/>
        <v>:01039C58000107</v>
      </c>
    </row>
    <row r="40" spans="1:11" x14ac:dyDescent="0.3">
      <c r="A40" s="4" t="s">
        <v>19</v>
      </c>
      <c r="B40" s="1" t="s">
        <v>47</v>
      </c>
      <c r="C40" s="1" t="s">
        <v>83</v>
      </c>
      <c r="D40" s="15" t="s">
        <v>196</v>
      </c>
      <c r="E40" s="10" t="s">
        <v>106</v>
      </c>
      <c r="F40" t="str">
        <f t="shared" si="3"/>
        <v>9C6C</v>
      </c>
      <c r="G40" s="6" t="s">
        <v>95</v>
      </c>
      <c r="H40" t="s">
        <v>114</v>
      </c>
      <c r="I40" s="6" t="s">
        <v>100</v>
      </c>
      <c r="J40" s="7" t="str">
        <f t="shared" si="4"/>
        <v>:01039C6C0001F3</v>
      </c>
    </row>
    <row r="41" spans="1:11" ht="28.8" x14ac:dyDescent="0.3">
      <c r="A41" s="4" t="s">
        <v>20</v>
      </c>
      <c r="B41" s="1" t="s">
        <v>48</v>
      </c>
      <c r="C41" s="1" t="s">
        <v>83</v>
      </c>
      <c r="D41" s="15" t="s">
        <v>196</v>
      </c>
      <c r="E41" s="10" t="s">
        <v>106</v>
      </c>
      <c r="F41" t="str">
        <f t="shared" si="3"/>
        <v>9C8E</v>
      </c>
      <c r="G41" s="6" t="s">
        <v>95</v>
      </c>
      <c r="H41" t="s">
        <v>115</v>
      </c>
      <c r="I41" s="6" t="s">
        <v>103</v>
      </c>
      <c r="J41" s="7" t="str">
        <f t="shared" si="4"/>
        <v>:01039C8E0001D1</v>
      </c>
    </row>
    <row r="42" spans="1:11" x14ac:dyDescent="0.3">
      <c r="A42" s="4" t="s">
        <v>59</v>
      </c>
      <c r="B42" s="1" t="s">
        <v>62</v>
      </c>
      <c r="C42" s="1"/>
      <c r="D42" s="10"/>
      <c r="E42" s="10" t="s">
        <v>106</v>
      </c>
      <c r="F42" t="str">
        <f t="shared" si="3"/>
        <v>FA1</v>
      </c>
      <c r="G42" s="6" t="s">
        <v>144</v>
      </c>
      <c r="H42" t="s">
        <v>145</v>
      </c>
      <c r="I42" s="6" t="s">
        <v>146</v>
      </c>
      <c r="J42" s="7" t="str">
        <f t="shared" si="4"/>
        <v>:01050FA1000149</v>
      </c>
    </row>
    <row r="43" spans="1:11" x14ac:dyDescent="0.3">
      <c r="A43" s="4" t="s">
        <v>21</v>
      </c>
      <c r="B43" s="1" t="s">
        <v>64</v>
      </c>
      <c r="C43" s="1" t="s">
        <v>81</v>
      </c>
      <c r="D43" s="15" t="s">
        <v>196</v>
      </c>
      <c r="E43" s="10" t="s">
        <v>106</v>
      </c>
      <c r="F43" t="str">
        <f t="shared" si="3"/>
        <v>9C67</v>
      </c>
      <c r="G43" s="6" t="s">
        <v>95</v>
      </c>
      <c r="H43" t="s">
        <v>116</v>
      </c>
      <c r="I43" s="6" t="s">
        <v>123</v>
      </c>
      <c r="J43" s="7" t="str">
        <f t="shared" si="4"/>
        <v>:01039C670001F8</v>
      </c>
      <c r="K43" s="6" t="s">
        <v>142</v>
      </c>
    </row>
    <row r="44" spans="1:11" x14ac:dyDescent="0.3">
      <c r="A44" s="16" t="s">
        <v>22</v>
      </c>
      <c r="B44" s="16"/>
      <c r="C44" s="16"/>
      <c r="D44" s="9"/>
      <c r="E44" s="10" t="s">
        <v>106</v>
      </c>
      <c r="I44" s="6"/>
      <c r="J44" s="7"/>
    </row>
    <row r="45" spans="1:11" x14ac:dyDescent="0.3">
      <c r="A45" s="4" t="s">
        <v>23</v>
      </c>
      <c r="B45" s="1" t="s">
        <v>49</v>
      </c>
      <c r="C45" s="1" t="s">
        <v>50</v>
      </c>
      <c r="D45" s="10"/>
      <c r="E45" s="10" t="s">
        <v>106</v>
      </c>
      <c r="F45" t="str">
        <f t="shared" ref="F45:F52" si="5">DEC2HEX(RIGHT(B45,5))</f>
        <v>9C5D</v>
      </c>
      <c r="G45" s="6" t="s">
        <v>95</v>
      </c>
      <c r="H45" t="s">
        <v>125</v>
      </c>
      <c r="I45" s="6" t="s">
        <v>96</v>
      </c>
      <c r="J45" s="7" t="str">
        <f t="shared" si="4"/>
        <v>:01039C5D000201</v>
      </c>
    </row>
    <row r="46" spans="1:11" x14ac:dyDescent="0.3">
      <c r="A46" s="4" t="s">
        <v>24</v>
      </c>
      <c r="B46" s="1" t="s">
        <v>53</v>
      </c>
      <c r="C46" s="1" t="s">
        <v>84</v>
      </c>
      <c r="D46" s="15" t="s">
        <v>196</v>
      </c>
      <c r="E46" s="10" t="s">
        <v>106</v>
      </c>
      <c r="F46" t="str">
        <f t="shared" si="5"/>
        <v>9C8F</v>
      </c>
      <c r="G46" s="6" t="s">
        <v>95</v>
      </c>
      <c r="H46" t="s">
        <v>117</v>
      </c>
      <c r="I46" s="6" t="s">
        <v>126</v>
      </c>
      <c r="J46" s="7" t="str">
        <f t="shared" si="4"/>
        <v>:01039C8F0001D0</v>
      </c>
    </row>
    <row r="47" spans="1:11" x14ac:dyDescent="0.3">
      <c r="A47" s="4" t="s">
        <v>25</v>
      </c>
      <c r="B47" s="1" t="s">
        <v>51</v>
      </c>
      <c r="C47" s="1" t="s">
        <v>52</v>
      </c>
      <c r="D47" s="15" t="s">
        <v>198</v>
      </c>
      <c r="E47" s="10" t="s">
        <v>106</v>
      </c>
      <c r="F47" t="str">
        <f t="shared" si="5"/>
        <v>9C63</v>
      </c>
      <c r="G47" s="6" t="s">
        <v>95</v>
      </c>
      <c r="H47" t="s">
        <v>118</v>
      </c>
      <c r="I47" s="6" t="s">
        <v>124</v>
      </c>
      <c r="J47" s="7" t="str">
        <f t="shared" si="4"/>
        <v>:01039C630002FB</v>
      </c>
    </row>
    <row r="48" spans="1:11" x14ac:dyDescent="0.3">
      <c r="A48" s="4" t="s">
        <v>26</v>
      </c>
      <c r="B48" s="1" t="s">
        <v>55</v>
      </c>
      <c r="C48" s="1" t="s">
        <v>54</v>
      </c>
      <c r="D48" s="15" t="s">
        <v>196</v>
      </c>
      <c r="E48" s="10" t="s">
        <v>106</v>
      </c>
      <c r="F48" t="str">
        <f t="shared" si="5"/>
        <v>9C71</v>
      </c>
      <c r="G48" s="6" t="s">
        <v>95</v>
      </c>
      <c r="H48" t="s">
        <v>119</v>
      </c>
      <c r="I48" s="6" t="s">
        <v>127</v>
      </c>
      <c r="J48" s="7" t="str">
        <f t="shared" si="4"/>
        <v>:01039C710001EE</v>
      </c>
      <c r="K48" t="s">
        <v>85</v>
      </c>
    </row>
    <row r="49" spans="1:11" x14ac:dyDescent="0.3">
      <c r="A49" s="4" t="s">
        <v>27</v>
      </c>
      <c r="B49" s="1" t="s">
        <v>56</v>
      </c>
      <c r="C49" s="1" t="s">
        <v>57</v>
      </c>
      <c r="D49" s="15" t="s">
        <v>196</v>
      </c>
      <c r="E49" s="10" t="s">
        <v>106</v>
      </c>
      <c r="F49" t="str">
        <f t="shared" si="5"/>
        <v>9C7C</v>
      </c>
      <c r="G49" s="6" t="s">
        <v>95</v>
      </c>
      <c r="H49" t="s">
        <v>120</v>
      </c>
      <c r="I49" s="6" t="s">
        <v>104</v>
      </c>
      <c r="J49" s="7" t="str">
        <f t="shared" si="4"/>
        <v>:01039C7C0001E3</v>
      </c>
      <c r="K49" t="s">
        <v>86</v>
      </c>
    </row>
    <row r="50" spans="1:11" x14ac:dyDescent="0.3">
      <c r="A50" s="4" t="s">
        <v>28</v>
      </c>
      <c r="B50" s="1" t="s">
        <v>58</v>
      </c>
      <c r="C50" s="1" t="s">
        <v>57</v>
      </c>
      <c r="D50" s="15" t="s">
        <v>196</v>
      </c>
      <c r="E50" s="10" t="s">
        <v>106</v>
      </c>
      <c r="F50" t="str">
        <f t="shared" si="5"/>
        <v>9C7D</v>
      </c>
      <c r="G50" s="6" t="s">
        <v>95</v>
      </c>
      <c r="H50" t="s">
        <v>121</v>
      </c>
      <c r="I50" s="6" t="s">
        <v>128</v>
      </c>
      <c r="J50" s="7" t="str">
        <f t="shared" si="4"/>
        <v>:01039C7D0001E2</v>
      </c>
      <c r="K50" t="s">
        <v>87</v>
      </c>
    </row>
    <row r="51" spans="1:11" x14ac:dyDescent="0.3">
      <c r="A51" s="4" t="s">
        <v>29</v>
      </c>
      <c r="B51" s="1" t="s">
        <v>203</v>
      </c>
      <c r="C51" s="1" t="s">
        <v>44</v>
      </c>
      <c r="D51" s="15" t="s">
        <v>201</v>
      </c>
      <c r="E51" s="10" t="s">
        <v>106</v>
      </c>
      <c r="F51" t="str">
        <f t="shared" si="5"/>
        <v>FAC</v>
      </c>
      <c r="G51" s="6" t="s">
        <v>96</v>
      </c>
      <c r="J51" s="7"/>
    </row>
    <row r="52" spans="1:11" x14ac:dyDescent="0.3">
      <c r="A52" s="4" t="s">
        <v>207</v>
      </c>
      <c r="B52" s="1" t="s">
        <v>202</v>
      </c>
      <c r="C52" s="1" t="s">
        <v>44</v>
      </c>
      <c r="D52" s="15" t="s">
        <v>201</v>
      </c>
      <c r="E52" s="10"/>
      <c r="F52" t="str">
        <f t="shared" si="5"/>
        <v>FB0</v>
      </c>
      <c r="G52" s="6"/>
      <c r="J52" s="7"/>
    </row>
    <row r="53" spans="1:11" x14ac:dyDescent="0.3">
      <c r="A53" s="4" t="s">
        <v>88</v>
      </c>
      <c r="B53" s="1" t="s">
        <v>89</v>
      </c>
      <c r="C53" s="1" t="s">
        <v>92</v>
      </c>
      <c r="D53" s="10"/>
      <c r="E53" s="10" t="s">
        <v>106</v>
      </c>
      <c r="G53" s="6" t="s">
        <v>95</v>
      </c>
      <c r="J53" s="7"/>
    </row>
    <row r="54" spans="1:11" x14ac:dyDescent="0.3">
      <c r="A54" s="4" t="s">
        <v>30</v>
      </c>
      <c r="B54" s="1" t="s">
        <v>90</v>
      </c>
      <c r="C54" s="1" t="s">
        <v>91</v>
      </c>
      <c r="D54" s="15" t="s">
        <v>201</v>
      </c>
      <c r="E54" s="10" t="s">
        <v>106</v>
      </c>
      <c r="F54" t="str">
        <f>DEC2HEX(RIGHT(B54,5))</f>
        <v>3E8</v>
      </c>
      <c r="G54" s="6" t="s">
        <v>96</v>
      </c>
      <c r="J54" s="7"/>
    </row>
    <row r="55" spans="1:11" x14ac:dyDescent="0.3">
      <c r="A55" s="4" t="s">
        <v>60</v>
      </c>
      <c r="B55" s="1" t="s">
        <v>61</v>
      </c>
      <c r="C55" s="1" t="s">
        <v>63</v>
      </c>
      <c r="D55" s="15" t="s">
        <v>201</v>
      </c>
      <c r="E55" s="10" t="s">
        <v>106</v>
      </c>
      <c r="F55" t="str">
        <f>DEC2HEX(RIGHT(B55,5))</f>
        <v>FA5</v>
      </c>
      <c r="G55" s="6" t="s">
        <v>96</v>
      </c>
      <c r="J55" s="7"/>
    </row>
    <row r="56" spans="1:11" x14ac:dyDescent="0.3">
      <c r="A56" s="4" t="s">
        <v>31</v>
      </c>
      <c r="B56" s="1" t="s">
        <v>41</v>
      </c>
      <c r="C56" s="1" t="s">
        <v>42</v>
      </c>
      <c r="D56" s="10"/>
      <c r="E56" s="10" t="s">
        <v>106</v>
      </c>
      <c r="F56" t="str">
        <f>DEC2HEX(RIGHT(B56,5))</f>
        <v>FA7</v>
      </c>
      <c r="G56" s="6" t="s">
        <v>96</v>
      </c>
      <c r="J56" s="7"/>
    </row>
    <row r="57" spans="1:11" x14ac:dyDescent="0.3">
      <c r="A57" s="16" t="s">
        <v>32</v>
      </c>
      <c r="B57" s="16"/>
      <c r="C57" s="16"/>
      <c r="D57" s="9"/>
      <c r="E57" s="10" t="s">
        <v>106</v>
      </c>
      <c r="J57" s="7"/>
    </row>
    <row r="58" spans="1:11" x14ac:dyDescent="0.3">
      <c r="A58" s="4" t="s">
        <v>33</v>
      </c>
      <c r="B58" s="1" t="s">
        <v>66</v>
      </c>
      <c r="C58" s="1" t="s">
        <v>67</v>
      </c>
      <c r="D58" s="15" t="s">
        <v>196</v>
      </c>
      <c r="E58" s="10" t="s">
        <v>106</v>
      </c>
      <c r="F58" t="str">
        <f>DEC2HEX(RIGHT(B58,5))</f>
        <v>9C75</v>
      </c>
      <c r="G58" s="6" t="s">
        <v>95</v>
      </c>
      <c r="H58" t="s">
        <v>129</v>
      </c>
      <c r="I58" t="s">
        <v>105</v>
      </c>
      <c r="J58" s="7" t="str">
        <f t="shared" si="4"/>
        <v>:01039C750001EA</v>
      </c>
    </row>
    <row r="59" spans="1:11" x14ac:dyDescent="0.3">
      <c r="A59" s="4" t="s">
        <v>68</v>
      </c>
      <c r="B59" s="1" t="s">
        <v>70</v>
      </c>
      <c r="C59" s="1" t="s">
        <v>67</v>
      </c>
      <c r="D59" s="15" t="s">
        <v>196</v>
      </c>
      <c r="E59" s="10" t="s">
        <v>106</v>
      </c>
      <c r="F59" t="str">
        <f>DEC2HEX(RIGHT(B59,5))</f>
        <v>9C76</v>
      </c>
      <c r="G59" s="6" t="s">
        <v>95</v>
      </c>
      <c r="H59" t="s">
        <v>130</v>
      </c>
      <c r="I59" t="s">
        <v>135</v>
      </c>
      <c r="J59" s="7" t="str">
        <f t="shared" si="4"/>
        <v>:01039C760001E9</v>
      </c>
    </row>
    <row r="60" spans="1:11" x14ac:dyDescent="0.3">
      <c r="A60" s="4" t="s">
        <v>69</v>
      </c>
      <c r="B60" s="1" t="s">
        <v>71</v>
      </c>
      <c r="C60" s="1" t="s">
        <v>72</v>
      </c>
      <c r="D60" s="10"/>
      <c r="E60" s="10" t="s">
        <v>106</v>
      </c>
      <c r="F60" t="str">
        <f>DEC2HEX(RIGHT(B60,5))</f>
        <v>37</v>
      </c>
      <c r="G60" s="6" t="s">
        <v>95</v>
      </c>
      <c r="H60" s="6" t="s">
        <v>131</v>
      </c>
      <c r="I60" t="s">
        <v>136</v>
      </c>
      <c r="J60" s="7" t="str">
        <f t="shared" si="4"/>
        <v>:010300370001C4</v>
      </c>
    </row>
    <row r="61" spans="1:11" x14ac:dyDescent="0.3">
      <c r="A61" s="4" t="s">
        <v>73</v>
      </c>
      <c r="B61" s="1" t="s">
        <v>74</v>
      </c>
      <c r="C61" s="1" t="s">
        <v>80</v>
      </c>
      <c r="D61" s="10"/>
      <c r="E61" s="10" t="s">
        <v>106</v>
      </c>
      <c r="F61" t="str">
        <f>DEC2HEX(RIGHT(B61,5))</f>
        <v>7587</v>
      </c>
      <c r="G61" s="6" t="s">
        <v>97</v>
      </c>
      <c r="H61" s="6" t="s">
        <v>132</v>
      </c>
      <c r="I61" t="s">
        <v>124</v>
      </c>
      <c r="J61" s="7" t="str">
        <f t="shared" si="4"/>
        <v>:010475870004FB</v>
      </c>
    </row>
    <row r="62" spans="1:11" x14ac:dyDescent="0.3">
      <c r="A62" s="4" t="s">
        <v>75</v>
      </c>
      <c r="B62" s="1" t="s">
        <v>76</v>
      </c>
      <c r="C62" s="1" t="s">
        <v>80</v>
      </c>
      <c r="D62" s="10"/>
      <c r="E62" s="10" t="s">
        <v>106</v>
      </c>
      <c r="F62" t="str">
        <f>DEC2HEX(RIGHT(B62,5))</f>
        <v>75BA</v>
      </c>
      <c r="G62" s="6" t="s">
        <v>97</v>
      </c>
      <c r="H62" s="6" t="s">
        <v>133</v>
      </c>
      <c r="I62" t="s">
        <v>137</v>
      </c>
      <c r="J62" s="7" t="str">
        <f t="shared" si="4"/>
        <v>:010475BA0004C8</v>
      </c>
    </row>
    <row r="63" spans="1:11" ht="28.8" x14ac:dyDescent="0.3">
      <c r="A63" s="4" t="s">
        <v>34</v>
      </c>
      <c r="B63" s="1" t="s">
        <v>77</v>
      </c>
      <c r="C63" s="1"/>
      <c r="D63" s="10"/>
      <c r="E63" s="10" t="s">
        <v>106</v>
      </c>
      <c r="J63" s="7"/>
    </row>
    <row r="64" spans="1:11" x14ac:dyDescent="0.3">
      <c r="A64" s="4" t="s">
        <v>35</v>
      </c>
      <c r="B64" s="1" t="s">
        <v>78</v>
      </c>
      <c r="C64" s="1" t="s">
        <v>72</v>
      </c>
      <c r="D64" s="10" t="s">
        <v>204</v>
      </c>
      <c r="E64" s="10" t="s">
        <v>106</v>
      </c>
      <c r="F64" t="str">
        <f>DEC2HEX(RIGHT(B64,5))</f>
        <v>757A</v>
      </c>
      <c r="G64" s="6" t="s">
        <v>97</v>
      </c>
      <c r="H64" s="6" t="s">
        <v>134</v>
      </c>
      <c r="I64" t="s">
        <v>138</v>
      </c>
      <c r="J64" s="7" t="str">
        <f t="shared" si="4"/>
        <v>:0104757A00020A</v>
      </c>
    </row>
    <row r="65" spans="1:10" x14ac:dyDescent="0.3">
      <c r="A65" s="5" t="s">
        <v>147</v>
      </c>
      <c r="B65" s="13" t="s">
        <v>148</v>
      </c>
      <c r="C65" s="13" t="s">
        <v>149</v>
      </c>
      <c r="D65" s="15" t="s">
        <v>201</v>
      </c>
      <c r="E65" s="12" t="s">
        <v>106</v>
      </c>
      <c r="F65" t="str">
        <f>DEC2HEX(RIGHT(B65,5))</f>
        <v>FBC</v>
      </c>
      <c r="G65" s="6" t="s">
        <v>144</v>
      </c>
      <c r="H65" s="6" t="s">
        <v>155</v>
      </c>
      <c r="I65" t="s">
        <v>150</v>
      </c>
      <c r="J65" s="7" t="str">
        <f t="shared" si="4"/>
        <v>:01050FBC02E</v>
      </c>
    </row>
    <row r="66" spans="1:10" x14ac:dyDescent="0.3">
      <c r="A66" s="5" t="s">
        <v>151</v>
      </c>
      <c r="B66" s="13" t="s">
        <v>152</v>
      </c>
      <c r="E66" s="12" t="s">
        <v>106</v>
      </c>
      <c r="F66" t="str">
        <f>DEC2HEX(RIGHT(B66,5))</f>
        <v>9C79</v>
      </c>
      <c r="G66" s="6" t="s">
        <v>95</v>
      </c>
      <c r="H66" s="6" t="s">
        <v>153</v>
      </c>
      <c r="I66" t="s">
        <v>154</v>
      </c>
      <c r="J66" s="7" t="str">
        <f t="shared" si="4"/>
        <v>:01039C790001E6</v>
      </c>
    </row>
    <row r="68" spans="1:10" x14ac:dyDescent="0.3">
      <c r="A68" s="5" t="s">
        <v>190</v>
      </c>
      <c r="B68" t="s">
        <v>191</v>
      </c>
      <c r="C68" t="s">
        <v>194</v>
      </c>
      <c r="D68" s="14" t="s">
        <v>199</v>
      </c>
    </row>
    <row r="69" spans="1:10" x14ac:dyDescent="0.3">
      <c r="A69" s="5" t="s">
        <v>190</v>
      </c>
      <c r="B69" t="s">
        <v>192</v>
      </c>
      <c r="C69" t="s">
        <v>194</v>
      </c>
      <c r="D69" s="14" t="s">
        <v>199</v>
      </c>
    </row>
    <row r="70" spans="1:10" x14ac:dyDescent="0.3">
      <c r="A70" s="5" t="s">
        <v>190</v>
      </c>
      <c r="B70" t="s">
        <v>193</v>
      </c>
      <c r="C70" t="s">
        <v>194</v>
      </c>
      <c r="D70" s="14" t="s">
        <v>199</v>
      </c>
    </row>
    <row r="74" spans="1:10" x14ac:dyDescent="0.3">
      <c r="B74">
        <v>10260000</v>
      </c>
      <c r="C74" t="str">
        <f>DEC2HEX(B74)</f>
        <v>9C8E20</v>
      </c>
    </row>
    <row r="78" spans="1:10" ht="28.8" x14ac:dyDescent="0.3">
      <c r="A78" s="5" t="s">
        <v>206</v>
      </c>
    </row>
  </sheetData>
  <mergeCells count="5">
    <mergeCell ref="A3:C3"/>
    <mergeCell ref="A12:C12"/>
    <mergeCell ref="A14:C14"/>
    <mergeCell ref="A44:C44"/>
    <mergeCell ref="A57:C57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2025-05-03T08:01:32Z</dcterms:created>
  <dcterms:modified xsi:type="dcterms:W3CDTF">2025-07-17T20:14:55Z</dcterms:modified>
</cp:coreProperties>
</file>